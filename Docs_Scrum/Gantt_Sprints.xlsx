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46BF9347-F07F-40EC-A4F4-03D33F0A426A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Gantt_Matriz" sheetId="1" r:id="rId1"/>
    <sheet name="Resumen_Sprints" sheetId="2" r:id="rId2"/>
    <sheet name="Detalle_Semanal" sheetId="3" r:id="rId3"/>
    <sheet name="Carga_Semanal" sheetId="4" r:id="rId4"/>
    <sheet name="Funcionalidades" sheetId="5" r:id="rId5"/>
    <sheet name="Grafico_Carg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<sst xmlns="http://schemas.openxmlformats.org/spreadsheetml/2006/main" count="193" uniqueCount="70">
  <si>
    <t>Funcionalidad</t>
  </si>
  <si>
    <t>Sprint</t>
  </si>
  <si>
    <t>PHU</t>
  </si>
  <si>
    <t>Prioridad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</si>
  <si>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</si>
  <si>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</si>
  <si>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</si>
  <si>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</si>
  <si>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</si>
  <si>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</si>
  <si>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</si>
  <si>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</si>
  <si>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RF-002 - Autenticarse Cliente</t>
  </si>
  <si>
    <t>✓</t>
  </si>
  <si>
    <t>RF-004 - Autenticarse Gestor</t>
  </si>
  <si>
    <t>RF-006 - Descargar Anexo (inicio)</t>
  </si>
  <si>
    <t>RF-003 - Consultar Radicados Cliente</t>
  </si>
  <si>
    <t>RF-005 - Consultar Radicados Gestor</t>
  </si>
  <si>
    <t>RF-008 - Cambiar Estado PQRS (inicio)</t>
  </si>
  <si>
    <t>RF-006 - Descargar Anexo (fin)</t>
  </si>
  <si>
    <t>RF-008 - Cambiar Estado PQRS (fin)</t>
  </si>
  <si>
    <t>RF-007 - Generar Reporte PDF (inicio)</t>
  </si>
  <si>
    <t>RF-007 - Generar Reporte PDF (fin)</t>
  </si>
  <si>
    <t>RF-001 - Radicar PQRS</t>
  </si>
  <si>
    <t>Semanas</t>
  </si>
  <si>
    <t>PHU Planificado</t>
  </si>
  <si>
    <t>Capacidad PHU</t>
  </si>
  <si>
    <t>Diferencia</t>
  </si>
  <si>
    <t>Estado</t>
  </si>
  <si>
    <t>Funcionalidades</t>
  </si>
  <si>
    <t>1-2</t>
  </si>
  <si>
    <t>Sobrecargado</t>
  </si>
  <si>
    <t>RF-006, RF-004, RF-002</t>
  </si>
  <si>
    <t>3-4</t>
  </si>
  <si>
    <t>RF-005, RF-006, RF-008, RF-003</t>
  </si>
  <si>
    <t>5-6</t>
  </si>
  <si>
    <t>RF-008, RF-007</t>
  </si>
  <si>
    <t>7-8</t>
  </si>
  <si>
    <t>RF-001, RF-007</t>
  </si>
  <si>
    <t>ID</t>
  </si>
  <si>
    <t>Semana</t>
  </si>
  <si>
    <t>PHU_Semana</t>
  </si>
  <si>
    <t>PHU_Total</t>
  </si>
  <si>
    <t>Dificultad</t>
  </si>
  <si>
    <t>RF-002</t>
  </si>
  <si>
    <t>Autenticarse Cliente</t>
  </si>
  <si>
    <t>Alta</t>
  </si>
  <si>
    <t>RF-004</t>
  </si>
  <si>
    <t>Autenticarse Gestor</t>
  </si>
  <si>
    <t>RF-006</t>
  </si>
  <si>
    <t>Descargar Anexo (inicio)</t>
  </si>
  <si>
    <t>Media</t>
  </si>
  <si>
    <t>RF-003</t>
  </si>
  <si>
    <t>Consultar Radicados Cliente</t>
  </si>
  <si>
    <t>RF-005</t>
  </si>
  <si>
    <t>Consultar Radicados Gestor</t>
  </si>
  <si>
    <t>RF-008</t>
  </si>
  <si>
    <t>Cambiar Estado PQRS (inicio)</t>
  </si>
  <si>
    <t>Descargar Anexo (fin)</t>
  </si>
  <si>
    <t>Cambiar Estado PQRS (fin)</t>
  </si>
  <si>
    <t>RF-007</t>
  </si>
  <si>
    <t>Generar Reporte PDF (inicio)</t>
  </si>
  <si>
    <t>Generar Reporte PDF (fin)</t>
  </si>
  <si>
    <t>RF-001</t>
  </si>
  <si>
    <t>Radicar PQRS</t>
  </si>
  <si>
    <t>Capacidad_Semanal</t>
  </si>
  <si>
    <t>Sobrecarga</t>
  </si>
  <si>
    <t>Carga de trabajo por semana</t>
  </si>
  <si>
    <t>PHU Real</t>
  </si>
  <si>
    <t>Capacidad (2.33 PHU/semana)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</si>
</sst>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4D4D"/>
        <bgColor rgb="FF4D4D4D"/>
      </patternFill>
    </fill>
    <fill>
      <patternFill patternType="solid">
        <fgColor rgb="FFFF6B6B"/>
        <bgColor rgb="FFFF6B6B"/>
      </patternFill>
    </fill>
    <fill>
      <patternFill patternType="solid">
        <fgColor rgb="FFF5F5F5"/>
        <bgColor rgb="FFF5F5F5"/>
      </patternFill>
    </fill>
    <fill>
      <patternFill patternType="solid">
        <fgColor rgb="FF4CAF50"/>
        <bgColor rgb="FF4CAF50"/>
      </patternFill>
    </fill>
    <fill>
      <patternFill patternType="solid">
        <fgColor rgb="FFFFD93D"/>
        <bgColor rgb="FFFFD93D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Carga de Trabajo por Semana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Grafico_Carga!B2</c:f>
              <c:strCache>
                <c:ptCount val="1"/>
                <c:pt idx="0">
                  <c:v>PHU Real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Grafico_Carga!$A$3:$A$5</c:f>
              <c:strCache>
                <c:ptCount val="3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</c:strCache>
            </c:strRef>
          </c:cat>
          <c:val>
            <c:numRef>
              <c:f>Grafico_Carga!$B$3:$B$5</c:f>
              <c:numCache>
                <c:formatCode>General</c:formatCode>
                <c:ptCount val="3"/>
                <c:pt idx="0">
                  <c:v>4.67</c:v>
                </c:pt>
                <c:pt idx="1">
                  <c:v>4.67</c:v>
                </c:pt>
                <c:pt idx="2">
                  <c:v>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C-493E-8449-07D617519693}"/>
            </c:ext>
          </c:extLst>
        </c:ser>
        <c:ser>
          <c:idx val="1"/>
          <c:order val="1"/>
          <c:tx>
            <c:strRef>
              <c:f>Grafico_Carga!C2</c:f>
              <c:strCache>
                <c:ptCount val="1"/>
                <c:pt idx="0">
                  <c:v>Capacidad (2.33 PHU/semana)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Grafico_Carga!$A$3:$A$5</c:f>
              <c:strCache>
                <c:ptCount val="3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</c:strCache>
            </c:strRef>
          </c:cat>
          <c:val>
            <c:numRef>
              <c:f>Grafico_Carga!$C$3:$C$5</c:f>
              <c:numCache>
                <c:formatCode>General</c:formatCode>
                <c:ptCount val="3"/>
                <c:pt idx="0">
                  <c:v>2.33</c:v>
                </c:pt>
                <c:pt idx="1">
                  <c:v>2.33</c:v>
                </c:pt>
                <c:pt idx="2">
                  <c:v>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C-493E-8449-07D617519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PHU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13</xdr:row>
      <xdr:rowOff>19050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FB93E-2C79-45AF-8DFA-1EAA24F788CF}" name="Tabla1" displayName="Tabla1" ref="A1:H23" totalsRowShown="0">
  <autoFilter ref="A1:H23" xr:uid="{297FB93E-2C79-45AF-8DFA-1EAA24F788CF}"/>
  <tableColumns count="8">
    <tableColumn id="1" xr3:uid="{E131F821-D97B-49CE-9A2D-78CA6215DE52}" name="ID"/>
    <tableColumn id="2" xr3:uid="{C44F12C2-CC0C-4963-88D5-EA06992C5B94}" name="Funcionalidad"/>
    <tableColumn id="3" xr3:uid="{0DFF35C1-A66A-48D7-99EB-A1E7E574AF75}" name="Sprint"/>
    <tableColumn id="4" xr3:uid="{25065819-7E07-45B8-81C8-C2A0EAE32FA6}" name="Semana"/>
    <tableColumn id="5" xr3:uid="{43877374-1CD4-4B7D-BFC8-DA08AA3BA617}" name="PHU_Semana"/>
    <tableColumn id="6" xr3:uid="{596B1CDD-968E-41EA-BE5B-B223712E10D4}" name="PHU_Total"/>
    <tableColumn id="7" xr3:uid="{AEA66747-D62D-448A-81CC-B8B2B88A94F8}" name="Prioridad"/>
    <tableColumn id="8" xr3:uid="{67D1422D-4F30-4548-966E-D39C2BE04C9B}" name="Dificultad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B04D99-692F-4F7F-B010-170578DA249E}" name="Tabla2" displayName="Tabla2" ref="A1:F12" totalsRowShown="0">
  <autoFilter ref="A1:F12" xr:uid="{F4B04D99-692F-4F7F-B010-170578DA249E}"/>
  <tableColumns count="6">
    <tableColumn id="1" xr3:uid="{2BF0E112-49BC-4737-BEC6-879A2FBE5899}" name="ID"/>
    <tableColumn id="2" xr3:uid="{0AADD09A-74C9-4DC6-9719-30D83280678B}" name="Funcionalidad"/>
    <tableColumn id="3" xr3:uid="{068C3B09-C56D-4486-95AE-4095834410AA}" name="Sprint"/>
    <tableColumn id="4" xr3:uid="{91BCAD74-138A-4F9C-87AC-01526BCE1EEE}" name="PHU"/>
    <tableColumn id="5" xr3:uid="{2D32F1BC-23CF-4117-8E0C-919D3A864745}" name="Prioridad"/>
    <tableColumn id="6" xr3:uid="{681EF5F4-DB4C-434B-9584-D4C1743E6C96}" name="Dificultad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3919F8-4EC7-41A5-B7C2-00A2864454BD}" name="Tabla3" displayName="Tabla3" ref="A2:C10" totalsRowShown="0">
  <autoFilter ref="A2:C10" xr:uid="{B53919F8-4EC7-41A5-B7C2-00A2864454BD}"/>
  <tableColumns count="3">
    <tableColumn id="1" xr3:uid="{F8405842-29E4-492D-A334-E6F71EB6D938}" name="Semana"/>
    <tableColumn id="2" xr3:uid="{B6BD1FCD-D455-41E4-9A98-AA5EAA68140A}" name="PHU Real"/>
    <tableColumn id="3" xr3:uid="{FE0C88C8-147F-4BA7-AB75-39B08AAFC192}" name="Capacidad (2.33 PHU/semana)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/>
  </sheetViews>
  <sheetFormatPr defaultRowHeight="15"/>
  <cols>
    <col min="1" max="1" width="35" customWidth="1"/>
    <col min="2" max="13" width="1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1</v>
      </c>
      <c r="C2" s="3">
        <v>4</v>
      </c>
      <c r="D2" s="4"/>
      <c r="E2" s="5" t="s">
        <v>13</v>
      </c>
      <c r="F2" s="5" t="s">
        <v>13</v>
      </c>
      <c r="G2" s="4"/>
      <c r="H2" s="4"/>
      <c r="I2" s="4"/>
      <c r="J2" s="4"/>
      <c r="K2" s="4"/>
      <c r="L2" s="4"/>
    </row>
    <row r="3" spans="1:12">
      <c r="A3" s="2" t="s">
        <v>14</v>
      </c>
      <c r="B3" s="3">
        <v>1</v>
      </c>
      <c r="C3" s="3">
        <v>4</v>
      </c>
      <c r="D3" s="4"/>
      <c r="E3" s="5" t="s">
        <v>13</v>
      </c>
      <c r="F3" s="5" t="s">
        <v>13</v>
      </c>
      <c r="G3" s="4"/>
      <c r="H3" s="4"/>
      <c r="I3" s="4"/>
      <c r="J3" s="4"/>
      <c r="K3" s="4"/>
      <c r="L3" s="4"/>
    </row>
    <row r="4" spans="1:12">
      <c r="A4" s="6" t="s">
        <v>15</v>
      </c>
      <c r="B4" s="3">
        <v>1</v>
      </c>
      <c r="C4" s="3">
        <v>1.33</v>
      </c>
      <c r="D4" s="4"/>
      <c r="E4" s="5" t="s">
        <v>13</v>
      </c>
      <c r="F4" s="5" t="s">
        <v>13</v>
      </c>
      <c r="G4" s="4"/>
      <c r="H4" s="4"/>
      <c r="I4" s="4"/>
      <c r="J4" s="4"/>
      <c r="K4" s="4"/>
      <c r="L4" s="4"/>
    </row>
    <row r="5" spans="1:12">
      <c r="A5" s="2" t="s">
        <v>16</v>
      </c>
      <c r="B5" s="3">
        <v>2</v>
      </c>
      <c r="C5" s="3">
        <v>2</v>
      </c>
      <c r="D5" s="4"/>
      <c r="E5" s="4"/>
      <c r="F5" s="4"/>
      <c r="G5" s="5" t="s">
        <v>13</v>
      </c>
      <c r="H5" s="5" t="s">
        <v>13</v>
      </c>
      <c r="I5" s="4"/>
      <c r="J5" s="4"/>
      <c r="K5" s="4"/>
      <c r="L5" s="4"/>
    </row>
    <row r="6" spans="1:12">
      <c r="A6" s="2" t="s">
        <v>17</v>
      </c>
      <c r="B6" s="3">
        <v>2</v>
      </c>
      <c r="C6" s="3">
        <v>2</v>
      </c>
      <c r="D6" s="4"/>
      <c r="E6" s="4"/>
      <c r="F6" s="4"/>
      <c r="G6" s="5" t="s">
        <v>13</v>
      </c>
      <c r="H6" s="5" t="s">
        <v>13</v>
      </c>
      <c r="I6" s="4"/>
      <c r="J6" s="4"/>
      <c r="K6" s="4"/>
      <c r="L6" s="4"/>
    </row>
    <row r="7" spans="1:12">
      <c r="A7" s="6" t="s">
        <v>18</v>
      </c>
      <c r="B7" s="3">
        <v>2</v>
      </c>
      <c r="C7" s="3">
        <v>3</v>
      </c>
      <c r="D7" s="4"/>
      <c r="E7" s="4"/>
      <c r="F7" s="4"/>
      <c r="G7" s="5" t="s">
        <v>13</v>
      </c>
      <c r="H7" s="5" t="s">
        <v>13</v>
      </c>
      <c r="I7" s="4"/>
      <c r="J7" s="4"/>
      <c r="K7" s="4"/>
      <c r="L7" s="4"/>
    </row>
    <row r="8" spans="1:12">
      <c r="A8" s="6" t="s">
        <v>19</v>
      </c>
      <c r="B8" s="3">
        <v>2</v>
      </c>
      <c r="C8" s="3">
        <v>2.67</v>
      </c>
      <c r="D8" s="4"/>
      <c r="E8" s="4"/>
      <c r="F8" s="4"/>
      <c r="G8" s="5" t="s">
        <v>13</v>
      </c>
      <c r="H8" s="5" t="s">
        <v>13</v>
      </c>
      <c r="I8" s="4"/>
      <c r="J8" s="4"/>
      <c r="K8" s="4"/>
      <c r="L8" s="4"/>
    </row>
    <row r="9" spans="1:12">
      <c r="A9" s="6" t="s">
        <v>20</v>
      </c>
      <c r="B9" s="3">
        <v>3</v>
      </c>
      <c r="C9" s="3">
        <v>3</v>
      </c>
      <c r="D9" s="4"/>
      <c r="E9" s="4"/>
      <c r="F9" s="4"/>
      <c r="G9" s="4"/>
      <c r="H9" s="4"/>
      <c r="I9" s="5" t="s">
        <v>13</v>
      </c>
      <c r="J9" s="5" t="s">
        <v>13</v>
      </c>
      <c r="K9" s="4"/>
      <c r="L9" s="4"/>
    </row>
    <row r="10" spans="1:12">
      <c r="A10" s="6" t="s">
        <v>21</v>
      </c>
      <c r="B10" s="3">
        <v>3</v>
      </c>
      <c r="C10" s="3">
        <v>3</v>
      </c>
      <c r="D10" s="4"/>
      <c r="E10" s="4"/>
      <c r="F10" s="4"/>
      <c r="G10" s="4"/>
      <c r="H10" s="4"/>
      <c r="I10" s="5" t="s">
        <v>13</v>
      </c>
      <c r="J10" s="5" t="s">
        <v>13</v>
      </c>
      <c r="K10" s="4"/>
      <c r="L10" s="4"/>
    </row>
    <row r="11" spans="1:12">
      <c r="A11" s="6" t="s">
        <v>22</v>
      </c>
      <c r="B11" s="3">
        <v>4</v>
      </c>
      <c r="C11" s="3">
        <v>3</v>
      </c>
      <c r="D11" s="4"/>
      <c r="E11" s="4"/>
      <c r="F11" s="4"/>
      <c r="G11" s="4"/>
      <c r="H11" s="4"/>
      <c r="I11" s="4"/>
      <c r="J11" s="4"/>
      <c r="K11" s="5" t="s">
        <v>13</v>
      </c>
      <c r="L11" s="5" t="s">
        <v>13</v>
      </c>
    </row>
    <row r="12" spans="1:12">
      <c r="A12" s="2" t="s">
        <v>23</v>
      </c>
      <c r="B12" s="3">
        <v>4</v>
      </c>
      <c r="C12" s="3">
        <v>4</v>
      </c>
      <c r="D12" s="4"/>
      <c r="E12" s="4"/>
      <c r="F12" s="4"/>
      <c r="G12" s="4"/>
      <c r="H12" s="4"/>
      <c r="I12" s="4"/>
      <c r="J12" s="4"/>
      <c r="K12" s="5" t="s">
        <v>13</v>
      </c>
      <c r="L12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/>
  <cols>
    <col min="1" max="1" width="6.42578125" bestFit="1" customWidth="1"/>
    <col min="3" max="3" width="15.5703125" bestFit="1" customWidth="1"/>
    <col min="4" max="4" width="14.85546875" bestFit="1" customWidth="1"/>
    <col min="5" max="5" width="19.5703125" customWidth="1"/>
    <col min="6" max="6" width="19.28515625" customWidth="1"/>
    <col min="7" max="7" width="45.5703125" customWidth="1"/>
  </cols>
  <sheetData>
    <row r="1" spans="1:7">
      <c r="A1" s="7" t="s">
        <v>1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</row>
    <row r="2" spans="1:7">
      <c r="A2" s="8">
        <v>1</v>
      </c>
      <c r="B2" s="8" t="s">
        <v>30</v>
      </c>
      <c r="C2" s="8">
        <v>9.33</v>
      </c>
      <c r="D2" s="8">
        <v>4.66</v>
      </c>
      <c r="E2" s="8">
        <v>4.67</v>
      </c>
      <c r="F2" s="8" t="s">
        <v>31</v>
      </c>
      <c r="G2" s="8" t="s">
        <v>32</v>
      </c>
    </row>
    <row r="3" spans="1:7">
      <c r="A3" s="8">
        <v>2</v>
      </c>
      <c r="B3" s="8" t="s">
        <v>33</v>
      </c>
      <c r="C3" s="8">
        <v>9.67</v>
      </c>
      <c r="D3" s="8">
        <v>4.66</v>
      </c>
      <c r="E3" s="8">
        <v>5.01</v>
      </c>
      <c r="F3" s="8" t="s">
        <v>31</v>
      </c>
      <c r="G3" s="8" t="s">
        <v>34</v>
      </c>
    </row>
    <row r="4" spans="1:7">
      <c r="A4" s="8">
        <v>3</v>
      </c>
      <c r="B4" s="8" t="s">
        <v>35</v>
      </c>
      <c r="C4" s="8">
        <v>6</v>
      </c>
      <c r="D4" s="8">
        <v>4.66</v>
      </c>
      <c r="E4" s="8">
        <v>1.34</v>
      </c>
      <c r="F4" s="8" t="s">
        <v>31</v>
      </c>
      <c r="G4" s="8" t="s">
        <v>36</v>
      </c>
    </row>
    <row r="5" spans="1:7">
      <c r="A5" s="8">
        <v>4</v>
      </c>
      <c r="B5" s="8" t="s">
        <v>37</v>
      </c>
      <c r="C5" s="8">
        <v>7</v>
      </c>
      <c r="D5" s="8">
        <v>4.66</v>
      </c>
      <c r="E5" s="8">
        <v>2.34</v>
      </c>
      <c r="F5" s="8" t="s">
        <v>31</v>
      </c>
      <c r="G5" s="8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G28" sqref="G28"/>
    </sheetView>
  </sheetViews>
  <sheetFormatPr defaultRowHeight="15"/>
  <cols>
    <col min="2" max="2" width="27" bestFit="1" customWidth="1"/>
    <col min="4" max="4" width="10.5703125" bestFit="1" customWidth="1"/>
    <col min="5" max="5" width="15.5703125" bestFit="1" customWidth="1"/>
    <col min="6" max="6" width="12.85546875" bestFit="1" customWidth="1"/>
    <col min="7" max="7" width="11.7109375" bestFit="1" customWidth="1"/>
    <col min="8" max="8" width="12" bestFit="1" customWidth="1"/>
  </cols>
  <sheetData>
    <row r="1" spans="1:8">
      <c r="A1" t="s">
        <v>39</v>
      </c>
      <c r="B1" t="s">
        <v>0</v>
      </c>
      <c r="C1" t="s">
        <v>1</v>
      </c>
      <c r="D1" t="s">
        <v>40</v>
      </c>
      <c r="E1" t="s">
        <v>41</v>
      </c>
      <c r="F1" t="s">
        <v>42</v>
      </c>
      <c r="G1" t="s">
        <v>3</v>
      </c>
      <c r="H1" t="s">
        <v>43</v>
      </c>
    </row>
    <row r="2" spans="1:8">
      <c r="A2" t="s">
        <v>44</v>
      </c>
      <c r="B2" t="s">
        <v>45</v>
      </c>
      <c r="C2">
        <v>1</v>
      </c>
      <c r="D2">
        <v>1</v>
      </c>
      <c r="E2">
        <v>2</v>
      </c>
      <c r="F2">
        <v>4</v>
      </c>
      <c r="G2" t="s">
        <v>46</v>
      </c>
      <c r="H2">
        <v>2</v>
      </c>
    </row>
    <row r="3" spans="1:8">
      <c r="A3" t="s">
        <v>44</v>
      </c>
      <c r="B3" t="s">
        <v>45</v>
      </c>
      <c r="C3">
        <v>1</v>
      </c>
      <c r="D3">
        <v>2</v>
      </c>
      <c r="E3">
        <v>2</v>
      </c>
      <c r="F3">
        <v>4</v>
      </c>
      <c r="G3" t="s">
        <v>46</v>
      </c>
      <c r="H3">
        <v>2</v>
      </c>
    </row>
    <row r="4" spans="1:8">
      <c r="A4" t="s">
        <v>47</v>
      </c>
      <c r="B4" t="s">
        <v>48</v>
      </c>
      <c r="C4">
        <v>1</v>
      </c>
      <c r="D4">
        <v>1</v>
      </c>
      <c r="E4">
        <v>2</v>
      </c>
      <c r="F4">
        <v>4</v>
      </c>
      <c r="G4" t="s">
        <v>46</v>
      </c>
      <c r="H4">
        <v>2</v>
      </c>
    </row>
    <row r="5" spans="1:8">
      <c r="A5" t="s">
        <v>47</v>
      </c>
      <c r="B5" t="s">
        <v>48</v>
      </c>
      <c r="C5">
        <v>1</v>
      </c>
      <c r="D5">
        <v>2</v>
      </c>
      <c r="E5">
        <v>2</v>
      </c>
      <c r="F5">
        <v>4</v>
      </c>
      <c r="G5" t="s">
        <v>46</v>
      </c>
      <c r="H5">
        <v>2</v>
      </c>
    </row>
    <row r="6" spans="1:8">
      <c r="A6" t="s">
        <v>49</v>
      </c>
      <c r="B6" t="s">
        <v>50</v>
      </c>
      <c r="C6">
        <v>1</v>
      </c>
      <c r="D6">
        <v>1</v>
      </c>
      <c r="E6">
        <v>0.67</v>
      </c>
      <c r="F6">
        <v>1.33</v>
      </c>
      <c r="G6" t="s">
        <v>51</v>
      </c>
      <c r="H6">
        <v>2</v>
      </c>
    </row>
    <row r="7" spans="1:8">
      <c r="A7" t="s">
        <v>49</v>
      </c>
      <c r="B7" t="s">
        <v>50</v>
      </c>
      <c r="C7">
        <v>1</v>
      </c>
      <c r="D7">
        <v>2</v>
      </c>
      <c r="E7">
        <v>0.67</v>
      </c>
      <c r="F7">
        <v>1.33</v>
      </c>
      <c r="G7" t="s">
        <v>51</v>
      </c>
      <c r="H7">
        <v>2</v>
      </c>
    </row>
    <row r="8" spans="1:8">
      <c r="A8" t="s">
        <v>52</v>
      </c>
      <c r="B8" t="s">
        <v>53</v>
      </c>
      <c r="C8">
        <v>2</v>
      </c>
      <c r="D8">
        <v>3</v>
      </c>
      <c r="E8">
        <v>1</v>
      </c>
      <c r="F8">
        <v>2</v>
      </c>
      <c r="G8" t="s">
        <v>46</v>
      </c>
      <c r="H8">
        <v>1</v>
      </c>
    </row>
    <row r="9" spans="1:8">
      <c r="A9" t="s">
        <v>52</v>
      </c>
      <c r="B9" t="s">
        <v>53</v>
      </c>
      <c r="C9">
        <v>2</v>
      </c>
      <c r="D9">
        <v>4</v>
      </c>
      <c r="E9">
        <v>1</v>
      </c>
      <c r="F9">
        <v>2</v>
      </c>
      <c r="G9" t="s">
        <v>46</v>
      </c>
      <c r="H9">
        <v>1</v>
      </c>
    </row>
    <row r="10" spans="1:8">
      <c r="A10" t="s">
        <v>54</v>
      </c>
      <c r="B10" t="s">
        <v>55</v>
      </c>
      <c r="C10">
        <v>2</v>
      </c>
      <c r="D10">
        <v>3</v>
      </c>
      <c r="E10">
        <v>1</v>
      </c>
      <c r="F10">
        <v>2</v>
      </c>
      <c r="G10" t="s">
        <v>46</v>
      </c>
      <c r="H10">
        <v>1</v>
      </c>
    </row>
    <row r="11" spans="1:8">
      <c r="A11" t="s">
        <v>54</v>
      </c>
      <c r="B11" t="s">
        <v>55</v>
      </c>
      <c r="C11">
        <v>2</v>
      </c>
      <c r="D11">
        <v>4</v>
      </c>
      <c r="E11">
        <v>1</v>
      </c>
      <c r="F11">
        <v>2</v>
      </c>
      <c r="G11" t="s">
        <v>46</v>
      </c>
      <c r="H11">
        <v>1</v>
      </c>
    </row>
    <row r="12" spans="1:8">
      <c r="A12" t="s">
        <v>56</v>
      </c>
      <c r="B12" t="s">
        <v>57</v>
      </c>
      <c r="C12">
        <v>2</v>
      </c>
      <c r="D12">
        <v>3</v>
      </c>
      <c r="E12">
        <v>1.5</v>
      </c>
      <c r="F12">
        <v>3</v>
      </c>
      <c r="G12" t="s">
        <v>51</v>
      </c>
      <c r="H12">
        <v>3</v>
      </c>
    </row>
    <row r="13" spans="1:8">
      <c r="A13" t="s">
        <v>56</v>
      </c>
      <c r="B13" t="s">
        <v>57</v>
      </c>
      <c r="C13">
        <v>2</v>
      </c>
      <c r="D13">
        <v>4</v>
      </c>
      <c r="E13">
        <v>1.5</v>
      </c>
      <c r="F13">
        <v>3</v>
      </c>
      <c r="G13" t="s">
        <v>51</v>
      </c>
      <c r="H13">
        <v>3</v>
      </c>
    </row>
    <row r="14" spans="1:8">
      <c r="A14" t="s">
        <v>49</v>
      </c>
      <c r="B14" t="s">
        <v>58</v>
      </c>
      <c r="C14">
        <v>2</v>
      </c>
      <c r="D14">
        <v>3</v>
      </c>
      <c r="E14">
        <v>1.33</v>
      </c>
      <c r="F14">
        <v>2.67</v>
      </c>
      <c r="G14" t="s">
        <v>51</v>
      </c>
      <c r="H14">
        <v>2</v>
      </c>
    </row>
    <row r="15" spans="1:8">
      <c r="A15" t="s">
        <v>49</v>
      </c>
      <c r="B15" t="s">
        <v>58</v>
      </c>
      <c r="C15">
        <v>2</v>
      </c>
      <c r="D15">
        <v>4</v>
      </c>
      <c r="E15">
        <v>1.33</v>
      </c>
      <c r="F15">
        <v>2.67</v>
      </c>
      <c r="G15" t="s">
        <v>51</v>
      </c>
      <c r="H15">
        <v>2</v>
      </c>
    </row>
    <row r="16" spans="1:8">
      <c r="A16" t="s">
        <v>56</v>
      </c>
      <c r="B16" t="s">
        <v>59</v>
      </c>
      <c r="C16">
        <v>3</v>
      </c>
      <c r="D16">
        <v>5</v>
      </c>
      <c r="E16">
        <v>1.5</v>
      </c>
      <c r="F16">
        <v>3</v>
      </c>
      <c r="G16" t="s">
        <v>51</v>
      </c>
      <c r="H16">
        <v>3</v>
      </c>
    </row>
    <row r="17" spans="1:8">
      <c r="A17" t="s">
        <v>56</v>
      </c>
      <c r="B17" t="s">
        <v>59</v>
      </c>
      <c r="C17">
        <v>3</v>
      </c>
      <c r="D17">
        <v>6</v>
      </c>
      <c r="E17">
        <v>1.5</v>
      </c>
      <c r="F17">
        <v>3</v>
      </c>
      <c r="G17" t="s">
        <v>51</v>
      </c>
      <c r="H17">
        <v>3</v>
      </c>
    </row>
    <row r="18" spans="1:8">
      <c r="A18" t="s">
        <v>60</v>
      </c>
      <c r="B18" t="s">
        <v>61</v>
      </c>
      <c r="C18">
        <v>3</v>
      </c>
      <c r="D18">
        <v>5</v>
      </c>
      <c r="E18">
        <v>1.5</v>
      </c>
      <c r="F18">
        <v>3</v>
      </c>
      <c r="G18" t="s">
        <v>51</v>
      </c>
      <c r="H18">
        <v>3</v>
      </c>
    </row>
    <row r="19" spans="1:8">
      <c r="A19" t="s">
        <v>60</v>
      </c>
      <c r="B19" t="s">
        <v>61</v>
      </c>
      <c r="C19">
        <v>3</v>
      </c>
      <c r="D19">
        <v>6</v>
      </c>
      <c r="E19">
        <v>1.5</v>
      </c>
      <c r="F19">
        <v>3</v>
      </c>
      <c r="G19" t="s">
        <v>51</v>
      </c>
      <c r="H19">
        <v>3</v>
      </c>
    </row>
    <row r="20" spans="1:8">
      <c r="A20" t="s">
        <v>60</v>
      </c>
      <c r="B20" t="s">
        <v>62</v>
      </c>
      <c r="C20">
        <v>4</v>
      </c>
      <c r="D20">
        <v>7</v>
      </c>
      <c r="E20">
        <v>1.5</v>
      </c>
      <c r="F20">
        <v>3</v>
      </c>
      <c r="G20" t="s">
        <v>51</v>
      </c>
      <c r="H20">
        <v>3</v>
      </c>
    </row>
    <row r="21" spans="1:8">
      <c r="A21" t="s">
        <v>60</v>
      </c>
      <c r="B21" t="s">
        <v>62</v>
      </c>
      <c r="C21">
        <v>4</v>
      </c>
      <c r="D21">
        <v>8</v>
      </c>
      <c r="E21">
        <v>1.5</v>
      </c>
      <c r="F21">
        <v>3</v>
      </c>
      <c r="G21" t="s">
        <v>51</v>
      </c>
      <c r="H21">
        <v>3</v>
      </c>
    </row>
    <row r="22" spans="1:8">
      <c r="A22" t="s">
        <v>63</v>
      </c>
      <c r="B22" t="s">
        <v>64</v>
      </c>
      <c r="C22">
        <v>4</v>
      </c>
      <c r="D22">
        <v>7</v>
      </c>
      <c r="E22">
        <v>2</v>
      </c>
      <c r="F22">
        <v>4</v>
      </c>
      <c r="G22" t="s">
        <v>46</v>
      </c>
      <c r="H22">
        <v>2</v>
      </c>
    </row>
    <row r="23" spans="1:8">
      <c r="A23" t="s">
        <v>63</v>
      </c>
      <c r="B23" t="s">
        <v>64</v>
      </c>
      <c r="C23">
        <v>4</v>
      </c>
      <c r="D23">
        <v>8</v>
      </c>
      <c r="E23">
        <v>2</v>
      </c>
      <c r="F23">
        <v>4</v>
      </c>
      <c r="G23" t="s">
        <v>46</v>
      </c>
      <c r="H23">
        <v>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J15" sqref="J15"/>
    </sheetView>
  </sheetViews>
  <sheetFormatPr defaultRowHeight="15"/>
  <cols>
    <col min="1" max="1" width="8.28515625" bestFit="1" customWidth="1"/>
    <col min="2" max="2" width="13.28515625" bestFit="1" customWidth="1"/>
    <col min="3" max="3" width="19.28515625" bestFit="1" customWidth="1"/>
    <col min="4" max="4" width="11.140625" bestFit="1" customWidth="1"/>
  </cols>
  <sheetData>
    <row r="1" spans="1:4">
      <c r="A1" s="7" t="s">
        <v>40</v>
      </c>
      <c r="B1" s="7" t="s">
        <v>41</v>
      </c>
      <c r="C1" s="7" t="s">
        <v>65</v>
      </c>
      <c r="D1" s="7" t="s">
        <v>66</v>
      </c>
    </row>
    <row r="2" spans="1:4">
      <c r="A2" s="8">
        <v>1</v>
      </c>
      <c r="B2" s="8">
        <v>4.67</v>
      </c>
      <c r="C2" s="8">
        <v>2.33</v>
      </c>
      <c r="D2" s="8">
        <v>2.34</v>
      </c>
    </row>
    <row r="3" spans="1:4">
      <c r="A3" s="8">
        <v>2</v>
      </c>
      <c r="B3" s="8">
        <v>4.67</v>
      </c>
      <c r="C3" s="8">
        <v>2.33</v>
      </c>
      <c r="D3" s="8">
        <v>2.34</v>
      </c>
    </row>
    <row r="4" spans="1:4">
      <c r="A4" s="8">
        <v>3</v>
      </c>
      <c r="B4" s="8">
        <v>4.83</v>
      </c>
      <c r="C4" s="8">
        <v>2.33</v>
      </c>
      <c r="D4" s="8">
        <v>2.5</v>
      </c>
    </row>
    <row r="5" spans="1:4">
      <c r="A5" s="8">
        <v>4</v>
      </c>
      <c r="B5" s="8">
        <v>4.83</v>
      </c>
      <c r="C5" s="8">
        <v>2.33</v>
      </c>
      <c r="D5" s="8">
        <v>2.5</v>
      </c>
    </row>
    <row r="6" spans="1:4">
      <c r="A6" s="8">
        <v>5</v>
      </c>
      <c r="B6" s="8">
        <v>3</v>
      </c>
      <c r="C6" s="8">
        <v>2.33</v>
      </c>
      <c r="D6" s="8">
        <v>0.66999999999999993</v>
      </c>
    </row>
    <row r="7" spans="1:4">
      <c r="A7" s="8">
        <v>6</v>
      </c>
      <c r="B7" s="8">
        <v>3</v>
      </c>
      <c r="C7" s="8">
        <v>2.33</v>
      </c>
      <c r="D7" s="8">
        <v>0.66999999999999993</v>
      </c>
    </row>
    <row r="8" spans="1:4">
      <c r="A8" s="8">
        <v>7</v>
      </c>
      <c r="B8" s="8">
        <v>3.5</v>
      </c>
      <c r="C8" s="8">
        <v>2.33</v>
      </c>
      <c r="D8" s="8">
        <v>1.17</v>
      </c>
    </row>
    <row r="9" spans="1:4">
      <c r="A9" s="8">
        <v>8</v>
      </c>
      <c r="B9" s="8">
        <v>3.5</v>
      </c>
      <c r="C9" s="8">
        <v>2.33</v>
      </c>
      <c r="D9" s="8">
        <v>1.17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sqref="A1:F12"/>
    </sheetView>
  </sheetViews>
  <sheetFormatPr defaultRowHeight="15"/>
  <cols>
    <col min="2" max="2" width="27" bestFit="1" customWidth="1"/>
    <col min="5" max="5" width="11.7109375" bestFit="1" customWidth="1"/>
    <col min="6" max="6" width="12" bestFit="1" customWidth="1"/>
  </cols>
  <sheetData>
    <row r="1" spans="1:6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43</v>
      </c>
    </row>
    <row r="2" spans="1:6">
      <c r="A2" t="s">
        <v>44</v>
      </c>
      <c r="B2" t="s">
        <v>45</v>
      </c>
      <c r="C2">
        <v>1</v>
      </c>
      <c r="D2">
        <v>4</v>
      </c>
      <c r="E2" t="s">
        <v>46</v>
      </c>
      <c r="F2">
        <v>2</v>
      </c>
    </row>
    <row r="3" spans="1:6">
      <c r="A3" t="s">
        <v>47</v>
      </c>
      <c r="B3" t="s">
        <v>48</v>
      </c>
      <c r="C3">
        <v>1</v>
      </c>
      <c r="D3">
        <v>4</v>
      </c>
      <c r="E3" t="s">
        <v>46</v>
      </c>
      <c r="F3">
        <v>2</v>
      </c>
    </row>
    <row r="4" spans="1:6">
      <c r="A4" t="s">
        <v>49</v>
      </c>
      <c r="B4" t="s">
        <v>50</v>
      </c>
      <c r="C4">
        <v>1</v>
      </c>
      <c r="D4">
        <v>1.33</v>
      </c>
      <c r="E4" t="s">
        <v>51</v>
      </c>
      <c r="F4">
        <v>2</v>
      </c>
    </row>
    <row r="5" spans="1:6">
      <c r="A5" t="s">
        <v>52</v>
      </c>
      <c r="B5" t="s">
        <v>53</v>
      </c>
      <c r="C5">
        <v>2</v>
      </c>
      <c r="D5">
        <v>2</v>
      </c>
      <c r="E5" t="s">
        <v>46</v>
      </c>
      <c r="F5">
        <v>1</v>
      </c>
    </row>
    <row r="6" spans="1:6">
      <c r="A6" t="s">
        <v>54</v>
      </c>
      <c r="B6" t="s">
        <v>55</v>
      </c>
      <c r="C6">
        <v>2</v>
      </c>
      <c r="D6">
        <v>2</v>
      </c>
      <c r="E6" t="s">
        <v>46</v>
      </c>
      <c r="F6">
        <v>1</v>
      </c>
    </row>
    <row r="7" spans="1:6">
      <c r="A7" t="s">
        <v>56</v>
      </c>
      <c r="B7" t="s">
        <v>57</v>
      </c>
      <c r="C7">
        <v>2</v>
      </c>
      <c r="D7">
        <v>3</v>
      </c>
      <c r="E7" t="s">
        <v>51</v>
      </c>
      <c r="F7">
        <v>3</v>
      </c>
    </row>
    <row r="8" spans="1:6">
      <c r="A8" t="s">
        <v>49</v>
      </c>
      <c r="B8" t="s">
        <v>58</v>
      </c>
      <c r="C8">
        <v>2</v>
      </c>
      <c r="D8">
        <v>2.67</v>
      </c>
      <c r="E8" t="s">
        <v>51</v>
      </c>
      <c r="F8">
        <v>2</v>
      </c>
    </row>
    <row r="9" spans="1:6">
      <c r="A9" t="s">
        <v>56</v>
      </c>
      <c r="B9" t="s">
        <v>59</v>
      </c>
      <c r="C9">
        <v>3</v>
      </c>
      <c r="D9">
        <v>3</v>
      </c>
      <c r="E9" t="s">
        <v>51</v>
      </c>
      <c r="F9">
        <v>3</v>
      </c>
    </row>
    <row r="10" spans="1:6">
      <c r="A10" t="s">
        <v>60</v>
      </c>
      <c r="B10" t="s">
        <v>61</v>
      </c>
      <c r="C10">
        <v>3</v>
      </c>
      <c r="D10">
        <v>3</v>
      </c>
      <c r="E10" t="s">
        <v>51</v>
      </c>
      <c r="F10">
        <v>3</v>
      </c>
    </row>
    <row r="11" spans="1:6">
      <c r="A11" t="s">
        <v>60</v>
      </c>
      <c r="B11" t="s">
        <v>62</v>
      </c>
      <c r="C11">
        <v>4</v>
      </c>
      <c r="D11">
        <v>3</v>
      </c>
      <c r="E11" t="s">
        <v>51</v>
      </c>
      <c r="F11">
        <v>3</v>
      </c>
    </row>
    <row r="12" spans="1:6">
      <c r="A12" t="s">
        <v>63</v>
      </c>
      <c r="B12" t="s">
        <v>64</v>
      </c>
      <c r="C12">
        <v>4</v>
      </c>
      <c r="D12">
        <v>4</v>
      </c>
      <c r="E12" t="s">
        <v>46</v>
      </c>
      <c r="F12">
        <v>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tabSelected="1" workbookViewId="0">
      <selection sqref="A1:C1"/>
    </sheetView>
  </sheetViews>
  <sheetFormatPr defaultRowHeight="15"/>
  <cols>
    <col min="1" max="1" width="10.5703125" bestFit="1" customWidth="1"/>
    <col min="2" max="2" width="11.7109375" bestFit="1" customWidth="1"/>
    <col min="3" max="3" width="31" bestFit="1" customWidth="1"/>
  </cols>
  <sheetData>
    <row r="1" spans="1:3">
      <c r="A1" s="9" t="s">
        <v>67</v>
      </c>
      <c r="B1" s="9"/>
      <c r="C1" s="9"/>
    </row>
    <row r="2" spans="1:3">
      <c r="A2" t="s">
        <v>40</v>
      </c>
      <c r="B2" t="s">
        <v>68</v>
      </c>
      <c r="C2" t="s">
        <v>69</v>
      </c>
    </row>
    <row r="3" spans="1:3">
      <c r="A3" t="s">
        <v>4</v>
      </c>
      <c r="B3">
        <v>4.67</v>
      </c>
      <c r="C3">
        <v>2.33</v>
      </c>
    </row>
    <row r="4" spans="1:3">
      <c r="A4" t="s">
        <v>5</v>
      </c>
      <c r="B4">
        <v>4.67</v>
      </c>
      <c r="C4">
        <v>2.33</v>
      </c>
    </row>
    <row r="5" spans="1:3">
      <c r="A5" t="s">
        <v>6</v>
      </c>
      <c r="B5">
        <v>4.83</v>
      </c>
      <c r="C5">
        <v>2.33</v>
      </c>
    </row>
    <row r="6" spans="1:3">
      <c r="A6" t="s">
        <v>7</v>
      </c>
      <c r="B6">
        <v>4.83</v>
      </c>
      <c r="C6">
        <v>2.33</v>
      </c>
    </row>
    <row r="7" spans="1:3">
      <c r="A7" t="s">
        <v>8</v>
      </c>
      <c r="B7">
        <v>3</v>
      </c>
      <c r="C7">
        <v>2.33</v>
      </c>
    </row>
    <row r="8" spans="1:3">
      <c r="A8" t="s">
        <v>9</v>
      </c>
      <c r="B8">
        <v>3</v>
      </c>
      <c r="C8">
        <v>2.33</v>
      </c>
    </row>
    <row r="9" spans="1:3">
      <c r="A9" t="s">
        <v>10</v>
      </c>
      <c r="B9">
        <v>3.5</v>
      </c>
      <c r="C9">
        <v>2.33</v>
      </c>
    </row>
    <row r="10" spans="1:3">
      <c r="A10" t="s">
        <v>11</v>
      </c>
      <c r="B10">
        <v>3.5</v>
      </c>
      <c r="C10">
        <v>2.33</v>
      </c>
    </row>
  </sheetData>
  <mergeCells count="1">
    <mergeCell ref="A1:C1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2026-05-26T19:28:29Z</dcterms:created>
  <dcterms:modified xsi:type="dcterms:W3CDTF">2026-05-26T19:30:39Z</dcterms:modified>
  <cp:category/>
  <cp:contentStatus/>
</cp:coreProperties>
</file>